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bs_server1\会社共有\人事⇒総務\"/>
    </mc:Choice>
  </mc:AlternateContent>
  <xr:revisionPtr revIDLastSave="0" documentId="13_ncr:1_{CEEB2F2D-9FF4-449C-A8EE-C0CB275786C4}" xr6:coauthVersionLast="47" xr6:coauthVersionMax="47" xr10:uidLastSave="{00000000-0000-0000-0000-000000000000}"/>
  <bookViews>
    <workbookView xWindow="768" yWindow="768" windowWidth="17280" windowHeight="8880" xr2:uid="{00000000-000D-0000-FFFF-FFFF00000000}"/>
  </bookViews>
  <sheets>
    <sheet name="交通費申請サンプル" sheetId="1" r:id="rId1"/>
    <sheet name="経費申請サンプル"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 r="C1" i="2"/>
  <c r="G42" i="1"/>
  <c r="C28" i="2"/>
  <c r="A12" i="1"/>
  <c r="A13" i="1" s="1"/>
  <c r="B11" i="1"/>
  <c r="C11" i="1" s="1"/>
  <c r="B13" i="1" l="1"/>
  <c r="C13" i="1" s="1"/>
  <c r="A14" i="1"/>
  <c r="B12" i="1"/>
  <c r="C12" i="1" s="1"/>
  <c r="A15" i="1" l="1"/>
  <c r="B14" i="1"/>
  <c r="C14" i="1" s="1"/>
  <c r="B15" i="1" l="1"/>
  <c r="C15" i="1" s="1"/>
  <c r="A16" i="1"/>
  <c r="B16" i="1" l="1"/>
  <c r="C16" i="1" s="1"/>
  <c r="A17" i="1"/>
  <c r="B17" i="1" l="1"/>
  <c r="C17" i="1" s="1"/>
  <c r="A18" i="1"/>
  <c r="A19" i="1" l="1"/>
  <c r="B18" i="1"/>
  <c r="C18" i="1" s="1"/>
  <c r="A20" i="1" l="1"/>
  <c r="B19" i="1"/>
  <c r="C19" i="1" s="1"/>
  <c r="A21" i="1" l="1"/>
  <c r="B20" i="1"/>
  <c r="C20" i="1" s="1"/>
  <c r="A22" i="1" l="1"/>
  <c r="B21" i="1"/>
  <c r="C21" i="1" s="1"/>
  <c r="A23" i="1" l="1"/>
  <c r="B22" i="1"/>
  <c r="C22" i="1" s="1"/>
  <c r="B23" i="1" l="1"/>
  <c r="C23" i="1" s="1"/>
  <c r="A24" i="1"/>
  <c r="A25" i="1" l="1"/>
  <c r="B24" i="1"/>
  <c r="C24" i="1" s="1"/>
  <c r="B25" i="1" l="1"/>
  <c r="A26" i="1"/>
  <c r="B26" i="1" l="1"/>
  <c r="C26" i="1" s="1"/>
  <c r="A27" i="1"/>
  <c r="A28" i="1" l="1"/>
  <c r="B27" i="1"/>
  <c r="C27" i="1" s="1"/>
  <c r="A29" i="1" l="1"/>
  <c r="B28" i="1"/>
  <c r="C28" i="1" s="1"/>
  <c r="A30" i="1" l="1"/>
  <c r="B29" i="1"/>
  <c r="C29" i="1" s="1"/>
  <c r="A31" i="1" l="1"/>
  <c r="B30" i="1"/>
  <c r="C30" i="1" s="1"/>
  <c r="B31" i="1" l="1"/>
  <c r="A32" i="1"/>
  <c r="B32" i="1" l="1"/>
  <c r="C32" i="1" s="1"/>
  <c r="A33" i="1"/>
  <c r="A34" i="1" l="1"/>
  <c r="B33" i="1"/>
  <c r="C33" i="1" s="1"/>
  <c r="B34" i="1" l="1"/>
  <c r="C34" i="1" s="1"/>
  <c r="A35" i="1"/>
  <c r="B35" i="1" l="1"/>
  <c r="C35" i="1" s="1"/>
  <c r="A36" i="1"/>
  <c r="A37" i="1" l="1"/>
  <c r="B36" i="1"/>
  <c r="C36" i="1" s="1"/>
  <c r="B37" i="1" l="1"/>
  <c r="C37" i="1" s="1"/>
  <c r="A38" i="1"/>
  <c r="A39" i="1" l="1"/>
  <c r="B38" i="1"/>
  <c r="C38" i="1" s="1"/>
  <c r="B39" i="1" l="1"/>
  <c r="C39" i="1" s="1"/>
  <c r="A40" i="1"/>
  <c r="A41" i="1" l="1"/>
  <c r="B41" i="1" s="1"/>
  <c r="C41" i="1" s="1"/>
  <c r="B40" i="1"/>
  <c r="C40" i="1" s="1"/>
</calcChain>
</file>

<file path=xl/sharedStrings.xml><?xml version="1.0" encoding="utf-8"?>
<sst xmlns="http://schemas.openxmlformats.org/spreadsheetml/2006/main" count="40" uniqueCount="34">
  <si>
    <t>合計</t>
    <rPh sb="0" eb="2">
      <t>ゴウケイ</t>
    </rPh>
    <phoneticPr fontId="1"/>
  </si>
  <si>
    <t>出発駅</t>
    <rPh sb="0" eb="2">
      <t>シュッパツ</t>
    </rPh>
    <rPh sb="2" eb="3">
      <t>エキ</t>
    </rPh>
    <phoneticPr fontId="1"/>
  </si>
  <si>
    <t>到着駅</t>
    <rPh sb="0" eb="2">
      <t>トウチャク</t>
    </rPh>
    <rPh sb="2" eb="3">
      <t>エキ</t>
    </rPh>
    <phoneticPr fontId="1"/>
  </si>
  <si>
    <t>出勤状態</t>
    <rPh sb="2" eb="4">
      <t>ジョウタイ</t>
    </rPh>
    <phoneticPr fontId="1"/>
  </si>
  <si>
    <t>　　　　　　　　氏名：　出勤太郎（漢字で記入してください）</t>
    <rPh sb="8" eb="10">
      <t>シメイ</t>
    </rPh>
    <rPh sb="17" eb="19">
      <t>カンジ</t>
    </rPh>
    <rPh sb="20" eb="22">
      <t>キニュウ</t>
    </rPh>
    <phoneticPr fontId="1"/>
  </si>
  <si>
    <t>休</t>
    <rPh sb="0" eb="1">
      <t>キュウ</t>
    </rPh>
    <phoneticPr fontId="7"/>
  </si>
  <si>
    <t>休</t>
    <phoneticPr fontId="1"/>
  </si>
  <si>
    <t>月/日</t>
    <phoneticPr fontId="8"/>
  </si>
  <si>
    <t>曜</t>
    <phoneticPr fontId="1"/>
  </si>
  <si>
    <t>勤
区</t>
    <rPh sb="2" eb="3">
      <t>ク</t>
    </rPh>
    <phoneticPr fontId="1"/>
  </si>
  <si>
    <t>出勤</t>
  </si>
  <si>
    <t>在宅</t>
  </si>
  <si>
    <t>金額（円）
往復の単価でご記入ください</t>
    <rPh sb="0" eb="2">
      <t>キンガク</t>
    </rPh>
    <rPh sb="3" eb="4">
      <t>エン</t>
    </rPh>
    <rPh sb="6" eb="8">
      <t>オウフク</t>
    </rPh>
    <rPh sb="9" eb="11">
      <t>タンカ</t>
    </rPh>
    <rPh sb="13" eb="15">
      <t>キニュウ</t>
    </rPh>
    <phoneticPr fontId="1"/>
  </si>
  <si>
    <t>年　</t>
    <phoneticPr fontId="1"/>
  </si>
  <si>
    <t>休み</t>
  </si>
  <si>
    <r>
      <rPr>
        <b/>
        <sz val="18"/>
        <color rgb="FFFF0000"/>
        <rFont val="ＭＳ Ｐゴシック"/>
        <family val="3"/>
        <charset val="128"/>
      </rPr>
      <t>【交通費に関する本人確認】</t>
    </r>
    <r>
      <rPr>
        <sz val="14"/>
        <rFont val="ＭＳ Ｐゴシック"/>
        <family val="3"/>
        <charset val="128"/>
      </rPr>
      <t xml:space="preserve">
</t>
    </r>
    <r>
      <rPr>
        <sz val="11"/>
        <rFont val="ＭＳ Ｐゴシック"/>
        <family val="3"/>
        <charset val="128"/>
      </rPr>
      <t>私は、上記の交通費申請内容が、当月の実際の勤務形態および出勤実態と一致していることを確認しました。
事後確認により申請内容と事実が異なることが判明した場合、当該交通費は会社負担の対象外となり、既に支給された金額については返還の対象となることに同意します。</t>
    </r>
    <phoneticPr fontId="1"/>
  </si>
  <si>
    <t xml:space="preserve">定期券購入する際に、定期券写真添付必須
</t>
    <rPh sb="0" eb="2">
      <t>テイキ</t>
    </rPh>
    <rPh sb="2" eb="3">
      <t>ケン</t>
    </rPh>
    <rPh sb="3" eb="5">
      <t>コウニュウ</t>
    </rPh>
    <rPh sb="7" eb="8">
      <t>サイ</t>
    </rPh>
    <rPh sb="10" eb="13">
      <t>テイキケン</t>
    </rPh>
    <rPh sb="13" eb="15">
      <t>シャシン</t>
    </rPh>
    <rPh sb="15" eb="17">
      <t>テンプ</t>
    </rPh>
    <rPh sb="17" eb="19">
      <t>ヒッス</t>
    </rPh>
    <phoneticPr fontId="1"/>
  </si>
  <si>
    <t>　　　　　　　　　　　　責任者氏名：　（本社メンバーの名前）</t>
    <phoneticPr fontId="1"/>
  </si>
  <si>
    <t>月分交通費</t>
    <rPh sb="2" eb="5">
      <t>コウツウヒ</t>
    </rPh>
    <phoneticPr fontId="1"/>
  </si>
  <si>
    <t>月分経費明細</t>
    <rPh sb="2" eb="4">
      <t>ケイヒ</t>
    </rPh>
    <rPh sb="4" eb="6">
      <t>メイサイ</t>
    </rPh>
    <phoneticPr fontId="1"/>
  </si>
  <si>
    <t>発生日</t>
    <phoneticPr fontId="8"/>
  </si>
  <si>
    <t>経費内容</t>
    <phoneticPr fontId="1"/>
  </si>
  <si>
    <t>証憑の有無</t>
    <rPh sb="3" eb="5">
      <t>ウム</t>
    </rPh>
    <phoneticPr fontId="1"/>
  </si>
  <si>
    <t>責任者氏名</t>
    <phoneticPr fontId="1"/>
  </si>
  <si>
    <t xml:space="preserve">証憑の写真添付
</t>
    <rPh sb="3" eb="5">
      <t>シャシン</t>
    </rPh>
    <rPh sb="5" eb="7">
      <t>テンプ</t>
    </rPh>
    <phoneticPr fontId="1"/>
  </si>
  <si>
    <t>備考欄</t>
    <rPh sb="0" eb="3">
      <t>ビコウラン</t>
    </rPh>
    <phoneticPr fontId="1"/>
  </si>
  <si>
    <t>金額（円）</t>
    <rPh sb="3" eb="4">
      <t>エン</t>
    </rPh>
    <phoneticPr fontId="1"/>
  </si>
  <si>
    <r>
      <rPr>
        <sz val="22"/>
        <color rgb="FFFF0000"/>
        <rFont val="ＭＳ Ｐゴシック"/>
        <family val="3"/>
        <charset val="128"/>
      </rPr>
      <t>【交通費に関する本人確認】</t>
    </r>
    <r>
      <rPr>
        <sz val="11"/>
        <rFont val="ＭＳ Ｐゴシック"/>
        <family val="3"/>
        <charset val="128"/>
      </rPr>
      <t xml:space="preserve">
</t>
    </r>
    <r>
      <rPr>
        <sz val="12"/>
        <rFont val="ＭＳ Ｐゴシック"/>
        <family val="3"/>
        <charset val="128"/>
      </rPr>
      <t>私は、本申請書に記載した各経費が、いずれも会社業務に伴い実際に発生したものであり、所定のルールに基づき申請していることを確認しました。</t>
    </r>
    <phoneticPr fontId="1"/>
  </si>
  <si>
    <t>その他（備考欄で内容記載必須）</t>
    <phoneticPr fontId="1"/>
  </si>
  <si>
    <t>あり（pdf添付）</t>
    <phoneticPr fontId="1"/>
  </si>
  <si>
    <t>西新井</t>
    <phoneticPr fontId="1"/>
  </si>
  <si>
    <t>日暮里</t>
    <rPh sb="0" eb="3">
      <t>ニッポリ</t>
    </rPh>
    <phoneticPr fontId="1"/>
  </si>
  <si>
    <t>例)12500</t>
    <rPh sb="0" eb="1">
      <t>レイ</t>
    </rPh>
    <phoneticPr fontId="1"/>
  </si>
  <si>
    <r>
      <rPr>
        <b/>
        <sz val="18"/>
        <color rgb="FFFF0000"/>
        <rFont val="ＭＳ Ｐゴシック"/>
        <family val="3"/>
        <charset val="128"/>
      </rPr>
      <t xml:space="preserve">【交通費申請】
</t>
    </r>
    <r>
      <rPr>
        <sz val="14"/>
        <rFont val="ＭＳ Ｐゴシック"/>
        <family val="3"/>
        <charset val="128"/>
      </rPr>
      <t xml:space="preserve">交通費は、業務上の出勤に伴い実際に発生した費用のみを会社負担の対象とします。
当月の勤務形態および出勤実態と一致しない交通費は、支給対象外となります。
</t>
    </r>
    <r>
      <rPr>
        <b/>
        <sz val="18"/>
        <color rgb="FFFF0000"/>
        <rFont val="ＭＳ Ｐゴシック"/>
        <family val="3"/>
        <charset val="128"/>
      </rPr>
      <t>【定期券の購入基本ルール】</t>
    </r>
    <r>
      <rPr>
        <sz val="14"/>
        <rFont val="ＭＳ Ｐゴシック"/>
        <family val="3"/>
        <charset val="128"/>
      </rPr>
      <t xml:space="preserve">
①毎週３回以上出社もしくは毎月合計12回以上の予定があれば定期券を購入してください。
②定期券は必ず月単位で購入してください。
③入場後出社や在宅割合を確認してから購入してください。</t>
    </r>
    <rPh sb="100" eb="101">
      <t>シュウ</t>
    </rPh>
    <rPh sb="111" eb="113">
      <t>マイツキ</t>
    </rPh>
    <rPh sb="113" eb="115">
      <t>ゴウケイ</t>
    </rPh>
    <rPh sb="117" eb="118">
      <t>カイ</t>
    </rPh>
    <rPh sb="118" eb="120">
      <t>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</si>
</sst>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m/d"/>
    <numFmt numFmtId="177" formatCode="aaa"/>
    <numFmt numFmtId="178" formatCode="yyyy"/>
    <numFmt numFmtId="179" formatCode="mm"/>
  </numFmts>
  <fonts count="14">
    <font>
      <sz val="11"/>
      <name val="ＭＳ Ｐゴシック"/>
      <family val="3"/>
      <charset val="128"/>
    </font>
    <font>
      <sz val="6"/>
      <name val="ＭＳ Ｐゴシック"/>
      <family val="3"/>
      <charset val="128"/>
    </font>
    <font>
      <sz val="12"/>
      <name val="ＭＳ Ｐゴシック"/>
      <family val="3"/>
      <charset val="128"/>
    </font>
    <font>
      <b/>
      <sz val="14"/>
      <name val="ＭＳ Ｐゴシック"/>
      <family val="3"/>
      <charset val="128"/>
    </font>
    <font>
      <sz val="14"/>
      <name val="ＭＳ Ｐゴシック"/>
      <family val="3"/>
      <charset val="128"/>
    </font>
    <font>
      <sz val="12"/>
      <name val="細明朝体"/>
      <family val="3"/>
      <charset val="128"/>
    </font>
    <font>
      <sz val="11"/>
      <name val="ＭＳ ゴシック"/>
      <family val="3"/>
      <charset val="128"/>
    </font>
    <font>
      <sz val="6"/>
      <name val="明朝"/>
      <family val="1"/>
      <charset val="128"/>
    </font>
    <font>
      <sz val="6"/>
      <name val="細明朝体"/>
      <family val="3"/>
      <charset val="128"/>
    </font>
    <font>
      <sz val="11"/>
      <name val="Microsoft YaHei"/>
      <family val="3"/>
      <charset val="134"/>
    </font>
    <font>
      <b/>
      <sz val="18"/>
      <color rgb="FFFF0000"/>
      <name val="ＭＳ Ｐゴシック"/>
      <family val="3"/>
      <charset val="128"/>
    </font>
    <font>
      <sz val="9"/>
      <color rgb="FF000000"/>
      <name val="Meiryo UI"/>
      <family val="3"/>
      <charset val="128"/>
    </font>
    <font>
      <u/>
      <sz val="12"/>
      <name val="ＭＳ Ｐゴシック"/>
      <family val="3"/>
      <charset val="128"/>
    </font>
    <font>
      <sz val="22"/>
      <color rgb="FFFF0000"/>
      <name val="ＭＳ Ｐゴシック"/>
      <family val="3"/>
      <charset val="128"/>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0" fontId="5" fillId="0" borderId="0"/>
  </cellStyleXfs>
  <cellXfs count="28">
    <xf numFmtId="0" fontId="0" fillId="0" borderId="0" xfId="0"/>
    <xf numFmtId="6" fontId="0" fillId="0" borderId="0" xfId="0" applyNumberFormat="1"/>
    <xf numFmtId="0" fontId="0" fillId="0" borderId="0" xfId="0" applyAlignment="1">
      <alignment horizontal="center"/>
    </xf>
    <xf numFmtId="0" fontId="0" fillId="0" borderId="1" xfId="0" applyBorder="1"/>
    <xf numFmtId="0" fontId="2" fillId="0" borderId="2" xfId="0" applyFont="1" applyBorder="1" applyAlignment="1">
      <alignment horizontal="center"/>
    </xf>
    <xf numFmtId="177" fontId="6" fillId="0" borderId="1" xfId="1" applyNumberFormat="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176" fontId="6" fillId="0" borderId="1" xfId="1" quotePrefix="1" applyNumberFormat="1" applyFont="1" applyBorder="1" applyAlignment="1" applyProtection="1">
      <alignment horizontal="center" vertical="center"/>
      <protection locked="0"/>
    </xf>
    <xf numFmtId="0" fontId="3" fillId="0" borderId="0" xfId="0" applyFont="1"/>
    <xf numFmtId="179" fontId="3" fillId="0" borderId="0" xfId="0" applyNumberFormat="1" applyFont="1"/>
    <xf numFmtId="178" fontId="3" fillId="2" borderId="0" xfId="0" applyNumberFormat="1" applyFont="1" applyFill="1"/>
    <xf numFmtId="176" fontId="6" fillId="4" borderId="1" xfId="1" quotePrefix="1" applyNumberFormat="1" applyFont="1" applyFill="1" applyBorder="1" applyAlignment="1" applyProtection="1">
      <alignment horizontal="center" vertical="center"/>
      <protection locked="0"/>
    </xf>
    <xf numFmtId="0" fontId="12" fillId="0" borderId="0" xfId="0" applyFont="1"/>
    <xf numFmtId="0" fontId="0" fillId="0" borderId="1" xfId="0" applyBorder="1" applyAlignment="1">
      <alignment wrapText="1"/>
    </xf>
    <xf numFmtId="0" fontId="2" fillId="0" borderId="0" xfId="0" applyFont="1" applyAlignment="1">
      <alignment horizontal="center"/>
    </xf>
    <xf numFmtId="3" fontId="0" fillId="0" borderId="1" xfId="0" applyNumberFormat="1" applyBorder="1"/>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center"/>
    </xf>
    <xf numFmtId="0" fontId="9" fillId="0" borderId="0" xfId="0" applyFont="1" applyAlignment="1">
      <alignment horizontal="center" vertical="center" wrapText="1"/>
    </xf>
    <xf numFmtId="0" fontId="6" fillId="3" borderId="3" xfId="1" applyFont="1" applyFill="1" applyBorder="1" applyAlignment="1" applyProtection="1">
      <alignment horizontal="center" vertical="center"/>
      <protection locked="0"/>
    </xf>
    <xf numFmtId="0" fontId="6" fillId="3" borderId="4" xfId="1" applyFont="1" applyFill="1" applyBorder="1" applyAlignment="1" applyProtection="1">
      <alignment horizontal="center" vertical="center"/>
      <protection locked="0"/>
    </xf>
    <xf numFmtId="0" fontId="6" fillId="3" borderId="3" xfId="1" applyFont="1" applyFill="1" applyBorder="1" applyAlignment="1" applyProtection="1">
      <alignment horizontal="center" vertical="center" wrapText="1"/>
      <protection locked="0"/>
    </xf>
    <xf numFmtId="0" fontId="6" fillId="3" borderId="4" xfId="1" applyFont="1" applyFill="1" applyBorder="1" applyAlignment="1" applyProtection="1">
      <alignment horizontal="center" vertical="center" wrapText="1"/>
      <protection locked="0"/>
    </xf>
    <xf numFmtId="0" fontId="4" fillId="0" borderId="0" xfId="0" applyFont="1" applyAlignment="1" applyProtection="1">
      <alignment horizontal="left" wrapText="1"/>
      <protection locked="0"/>
    </xf>
    <xf numFmtId="0" fontId="0" fillId="0" borderId="0" xfId="0" applyAlignment="1">
      <alignment horizontal="center" vertical="center"/>
    </xf>
    <xf numFmtId="0" fontId="12" fillId="0" borderId="5" xfId="0" applyFont="1" applyBorder="1" applyAlignment="1">
      <alignment horizontal="center"/>
    </xf>
  </cellXfs>
  <cellStyles count="2">
    <cellStyle name="標準" xfId="0" builtinId="0"/>
    <cellStyle name="標準_社内用ｿﾌﾄ能力評価制度概要Rev1" xfId="1" xr:uid="{E8F2DBF3-4FC7-4157-849E-35196420F205}"/>
  </cellStyles>
  <dxfs count="6">
    <dxf>
      <fill>
        <patternFill>
          <bgColor theme="0" tint="-0.14996795556505021"/>
        </patternFill>
      </fill>
    </dxf>
    <dxf>
      <fill>
        <patternFill>
          <fgColor theme="0" tint="-0.24994659260841701"/>
          <bgColor theme="0" tint="-0.24994659260841701"/>
        </patternFill>
      </fill>
    </dxf>
    <dxf>
      <fill>
        <patternFill>
          <fgColor theme="0" tint="-0.24994659260841701"/>
          <bgColor theme="0" tint="-0.24994659260841701"/>
        </patternFill>
      </fill>
    </dxf>
    <dxf>
      <fill>
        <patternFill>
          <bgColor theme="0" tint="-0.14996795556505021"/>
        </patternFill>
      </fill>
    </dxf>
    <dxf>
      <font>
        <condense val="0"/>
        <extend val="0"/>
        <color indexed="10"/>
      </font>
    </dxf>
    <dxf>
      <font>
        <condense val="0"/>
        <extend val="0"/>
        <color indexed="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7</xdr:col>
      <xdr:colOff>68976</xdr:colOff>
      <xdr:row>1</xdr:row>
      <xdr:rowOff>231671</xdr:rowOff>
    </xdr:from>
    <xdr:to>
      <xdr:col>9</xdr:col>
      <xdr:colOff>565133</xdr:colOff>
      <xdr:row>2</xdr:row>
      <xdr:rowOff>349583</xdr:rowOff>
    </xdr:to>
    <xdr:sp macro="" textlink="">
      <xdr:nvSpPr>
        <xdr:cNvPr id="9" name="吹き出し: 線 8">
          <a:extLst>
            <a:ext uri="{FF2B5EF4-FFF2-40B4-BE49-F238E27FC236}">
              <a16:creationId xmlns:a16="http://schemas.microsoft.com/office/drawing/2014/main" id="{6EFFB730-AB9C-3AF7-9649-23D738349E20}"/>
            </a:ext>
          </a:extLst>
        </xdr:cNvPr>
        <xdr:cNvSpPr/>
      </xdr:nvSpPr>
      <xdr:spPr>
        <a:xfrm>
          <a:off x="5518933" y="447019"/>
          <a:ext cx="1871070" cy="821934"/>
        </a:xfrm>
        <a:prstGeom prst="borderCallout1">
          <a:avLst>
            <a:gd name="adj1" fmla="val 16494"/>
            <a:gd name="adj2" fmla="val 25"/>
            <a:gd name="adj3" fmla="val -28395"/>
            <a:gd name="adj4" fmla="val -22760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２０２６</a:t>
          </a:r>
          <a:r>
            <a:rPr kumimoji="1" lang="en-US" altLang="ja-JP" sz="1100"/>
            <a:t>/</a:t>
          </a:r>
          <a:r>
            <a:rPr kumimoji="1" lang="ja-JP" altLang="en-US" sz="1100"/>
            <a:t>６</a:t>
          </a:r>
          <a:r>
            <a:rPr kumimoji="1" lang="en-US" altLang="ja-JP" sz="1100"/>
            <a:t>/</a:t>
          </a:r>
          <a:r>
            <a:rPr kumimoji="1" lang="ja-JP" altLang="en-US" sz="1100"/>
            <a:t>１、　７</a:t>
          </a:r>
          <a:r>
            <a:rPr kumimoji="1" lang="en-US" altLang="ja-JP" sz="1100"/>
            <a:t>/</a:t>
          </a:r>
          <a:r>
            <a:rPr kumimoji="1" lang="ja-JP" altLang="en-US" sz="1100"/>
            <a:t>１・・</a:t>
          </a:r>
        </a:p>
        <a:p>
          <a:pPr algn="l"/>
          <a:r>
            <a:rPr kumimoji="1" lang="ja-JP" altLang="en-US" sz="1100"/>
            <a:t>の形式で開始日付を入力して下さい</a:t>
          </a:r>
        </a:p>
      </xdr:txBody>
    </xdr:sp>
    <xdr:clientData/>
  </xdr:twoCellAnchor>
  <mc:AlternateContent xmlns:mc="http://schemas.openxmlformats.org/markup-compatibility/2006">
    <mc:Choice xmlns:a14="http://schemas.microsoft.com/office/drawing/2010/main" Requires="a14">
      <xdr:twoCellAnchor editAs="oneCell">
        <xdr:from>
          <xdr:col>0</xdr:col>
          <xdr:colOff>22860</xdr:colOff>
          <xdr:row>45</xdr:row>
          <xdr:rowOff>312420</xdr:rowOff>
        </xdr:from>
        <xdr:to>
          <xdr:col>5</xdr:col>
          <xdr:colOff>563880</xdr:colOff>
          <xdr:row>46</xdr:row>
          <xdr:rowOff>160020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上記内容を確認し、同意のうえ申請します。</a:t>
              </a:r>
            </a:p>
          </xdr:txBody>
        </xdr:sp>
        <xdr:clientData/>
      </xdr:twoCellAnchor>
    </mc:Choice>
    <mc:Fallback/>
  </mc:AlternateContent>
  <xdr:twoCellAnchor>
    <xdr:from>
      <xdr:col>1</xdr:col>
      <xdr:colOff>65690</xdr:colOff>
      <xdr:row>47</xdr:row>
      <xdr:rowOff>65689</xdr:rowOff>
    </xdr:from>
    <xdr:to>
      <xdr:col>4</xdr:col>
      <xdr:colOff>597776</xdr:colOff>
      <xdr:row>48</xdr:row>
      <xdr:rowOff>170792</xdr:rowOff>
    </xdr:to>
    <xdr:sp macro="" textlink="">
      <xdr:nvSpPr>
        <xdr:cNvPr id="4" name="吹き出し: 線 3">
          <a:extLst>
            <a:ext uri="{FF2B5EF4-FFF2-40B4-BE49-F238E27FC236}">
              <a16:creationId xmlns:a16="http://schemas.microsoft.com/office/drawing/2014/main" id="{3181197A-E2AB-B693-CFA5-7E518DC8AE92}"/>
            </a:ext>
          </a:extLst>
        </xdr:cNvPr>
        <xdr:cNvSpPr/>
      </xdr:nvSpPr>
      <xdr:spPr>
        <a:xfrm>
          <a:off x="748862" y="13256172"/>
          <a:ext cx="1983828" cy="275896"/>
        </a:xfrm>
        <a:prstGeom prst="borderCallout1">
          <a:avLst>
            <a:gd name="adj1" fmla="val 52084"/>
            <a:gd name="adj2" fmla="val -1826"/>
            <a:gd name="adj3" fmla="val -30357"/>
            <a:gd name="adj4" fmla="val -305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必ずチェック入れてください！</a:t>
          </a:r>
        </a:p>
      </xdr:txBody>
    </xdr:sp>
    <xdr:clientData/>
  </xdr:twoCellAnchor>
  <xdr:twoCellAnchor>
    <xdr:from>
      <xdr:col>7</xdr:col>
      <xdr:colOff>563503</xdr:colOff>
      <xdr:row>8</xdr:row>
      <xdr:rowOff>75970</xdr:rowOff>
    </xdr:from>
    <xdr:to>
      <xdr:col>10</xdr:col>
      <xdr:colOff>655467</xdr:colOff>
      <xdr:row>11</xdr:row>
      <xdr:rowOff>49696</xdr:rowOff>
    </xdr:to>
    <xdr:sp macro="" textlink="">
      <xdr:nvSpPr>
        <xdr:cNvPr id="2" name="吹き出し: 線 1">
          <a:extLst>
            <a:ext uri="{FF2B5EF4-FFF2-40B4-BE49-F238E27FC236}">
              <a16:creationId xmlns:a16="http://schemas.microsoft.com/office/drawing/2014/main" id="{A9B8AC6B-B6E0-48E4-8D91-26548E2355F1}"/>
            </a:ext>
          </a:extLst>
        </xdr:cNvPr>
        <xdr:cNvSpPr/>
      </xdr:nvSpPr>
      <xdr:spPr>
        <a:xfrm>
          <a:off x="6013460" y="3413861"/>
          <a:ext cx="2154333" cy="843400"/>
        </a:xfrm>
        <a:prstGeom prst="borderCallout1">
          <a:avLst>
            <a:gd name="adj1" fmla="val 52084"/>
            <a:gd name="adj2" fmla="val -1826"/>
            <a:gd name="adj3" fmla="val -30357"/>
            <a:gd name="adj4" fmla="val -305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a:t>定期券購入する前に</a:t>
          </a:r>
          <a:r>
            <a:rPr kumimoji="1" lang="ja-JP" altLang="en-US" sz="1100"/>
            <a:t>営業担当もしくは人事担当の承認必要です、承認してくれる担当の名前記入してください。</a:t>
          </a:r>
        </a:p>
      </xdr:txBody>
    </xdr:sp>
    <xdr:clientData/>
  </xdr:twoCellAnchor>
  <xdr:twoCellAnchor>
    <xdr:from>
      <xdr:col>7</xdr:col>
      <xdr:colOff>496957</xdr:colOff>
      <xdr:row>11</xdr:row>
      <xdr:rowOff>66261</xdr:rowOff>
    </xdr:from>
    <xdr:to>
      <xdr:col>10</xdr:col>
      <xdr:colOff>588921</xdr:colOff>
      <xdr:row>13</xdr:row>
      <xdr:rowOff>49696</xdr:rowOff>
    </xdr:to>
    <xdr:sp macro="" textlink="">
      <xdr:nvSpPr>
        <xdr:cNvPr id="3" name="吹き出し: 線 2">
          <a:extLst>
            <a:ext uri="{FF2B5EF4-FFF2-40B4-BE49-F238E27FC236}">
              <a16:creationId xmlns:a16="http://schemas.microsoft.com/office/drawing/2014/main" id="{E1F57DDB-7183-4A84-BBFA-4096A1F36C51}"/>
            </a:ext>
          </a:extLst>
        </xdr:cNvPr>
        <xdr:cNvSpPr/>
      </xdr:nvSpPr>
      <xdr:spPr>
        <a:xfrm>
          <a:off x="5946914" y="4273826"/>
          <a:ext cx="2154333" cy="513522"/>
        </a:xfrm>
        <a:prstGeom prst="borderCallout1">
          <a:avLst>
            <a:gd name="adj1" fmla="val 52084"/>
            <a:gd name="adj2" fmla="val -1826"/>
            <a:gd name="adj3" fmla="val -30357"/>
            <a:gd name="adj4" fmla="val -305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a:t>定期券購入する場合、</a:t>
          </a:r>
          <a:r>
            <a:rPr kumimoji="1" lang="ja-JP" altLang="en-US" sz="1100" b="1">
              <a:solidFill>
                <a:srgbClr val="FF0000"/>
              </a:solidFill>
            </a:rPr>
            <a:t>購入日に</a:t>
          </a:r>
          <a:r>
            <a:rPr kumimoji="1" lang="ja-JP" altLang="en-US" sz="1100" b="0"/>
            <a:t>、定期券金額を入力してください。</a:t>
          </a:r>
          <a:endParaRPr kumimoji="1" lang="en-US" altLang="ja-JP"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200025</xdr:colOff>
      <xdr:row>1</xdr:row>
      <xdr:rowOff>76200</xdr:rowOff>
    </xdr:from>
    <xdr:to>
      <xdr:col>6</xdr:col>
      <xdr:colOff>304800</xdr:colOff>
      <xdr:row>4</xdr:row>
      <xdr:rowOff>57150</xdr:rowOff>
    </xdr:to>
    <xdr:sp macro="" textlink="">
      <xdr:nvSpPr>
        <xdr:cNvPr id="2" name="吹き出し: 線 1">
          <a:extLst>
            <a:ext uri="{FF2B5EF4-FFF2-40B4-BE49-F238E27FC236}">
              <a16:creationId xmlns:a16="http://schemas.microsoft.com/office/drawing/2014/main" id="{CCCFA45A-7A0B-4F6D-ADF2-EACC5ACE5E43}"/>
            </a:ext>
          </a:extLst>
        </xdr:cNvPr>
        <xdr:cNvSpPr/>
      </xdr:nvSpPr>
      <xdr:spPr>
        <a:xfrm>
          <a:off x="2895600" y="295275"/>
          <a:ext cx="4419600" cy="495300"/>
        </a:xfrm>
        <a:prstGeom prst="borderCallout1">
          <a:avLst>
            <a:gd name="adj1" fmla="val 50810"/>
            <a:gd name="adj2" fmla="val -700"/>
            <a:gd name="adj3" fmla="val -2125"/>
            <a:gd name="adj4" fmla="val -4199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２０２６</a:t>
          </a:r>
          <a:r>
            <a:rPr kumimoji="1" lang="en-US" altLang="ja-JP" sz="1100"/>
            <a:t>/</a:t>
          </a:r>
          <a:r>
            <a:rPr kumimoji="1" lang="ja-JP" altLang="en-US" sz="1100"/>
            <a:t>６</a:t>
          </a:r>
          <a:r>
            <a:rPr kumimoji="1" lang="en-US" altLang="ja-JP" sz="1100"/>
            <a:t>/</a:t>
          </a:r>
          <a:r>
            <a:rPr kumimoji="1" lang="ja-JP" altLang="en-US" sz="1100"/>
            <a:t>１、　７</a:t>
          </a:r>
          <a:r>
            <a:rPr kumimoji="1" lang="en-US" altLang="ja-JP" sz="1100"/>
            <a:t>/</a:t>
          </a:r>
          <a:r>
            <a:rPr kumimoji="1" lang="ja-JP" altLang="en-US" sz="1100"/>
            <a:t>１・・</a:t>
          </a:r>
        </a:p>
        <a:p>
          <a:pPr algn="l"/>
          <a:r>
            <a:rPr kumimoji="1" lang="ja-JP" altLang="en-US" sz="1100"/>
            <a:t>の形式で開始日付を入力して下さい</a:t>
          </a:r>
        </a:p>
      </xdr:txBody>
    </xdr:sp>
    <xdr:clientData/>
  </xdr:twoCellAnchor>
  <xdr:twoCellAnchor>
    <xdr:from>
      <xdr:col>7</xdr:col>
      <xdr:colOff>123825</xdr:colOff>
      <xdr:row>12</xdr:row>
      <xdr:rowOff>114301</xdr:rowOff>
    </xdr:from>
    <xdr:to>
      <xdr:col>12</xdr:col>
      <xdr:colOff>628650</xdr:colOff>
      <xdr:row>14</xdr:row>
      <xdr:rowOff>323850</xdr:rowOff>
    </xdr:to>
    <xdr:sp macro="" textlink="">
      <xdr:nvSpPr>
        <xdr:cNvPr id="3" name="吹き出し: 線 2">
          <a:extLst>
            <a:ext uri="{FF2B5EF4-FFF2-40B4-BE49-F238E27FC236}">
              <a16:creationId xmlns:a16="http://schemas.microsoft.com/office/drawing/2014/main" id="{C5683864-EE48-4661-8628-0A9BEDA64469}"/>
            </a:ext>
          </a:extLst>
        </xdr:cNvPr>
        <xdr:cNvSpPr/>
      </xdr:nvSpPr>
      <xdr:spPr>
        <a:xfrm>
          <a:off x="7820025" y="2657476"/>
          <a:ext cx="3933825" cy="971549"/>
        </a:xfrm>
        <a:prstGeom prst="borderCallout1">
          <a:avLst>
            <a:gd name="adj1" fmla="val 17032"/>
            <a:gd name="adj2" fmla="val 837"/>
            <a:gd name="adj3" fmla="val -95501"/>
            <a:gd name="adj4" fmla="val -9419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1.</a:t>
          </a:r>
          <a:r>
            <a:rPr kumimoji="1" lang="ja-JP" altLang="en-US" sz="1100"/>
            <a:t>現場で発生した出張費用、宿泊代などは、現場承認者の名前を明記してください。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t>2.</a:t>
          </a:r>
          <a:r>
            <a:rPr kumimoji="1" lang="ja-JP" altLang="en-US" sz="1100"/>
            <a:t>結婚手当、出産手当、資格取得手当などは、</a:t>
          </a:r>
          <a:r>
            <a:rPr kumimoji="1" lang="ja-JP" altLang="en-US" sz="1100">
              <a:solidFill>
                <a:schemeClr val="dk1"/>
              </a:solidFill>
              <a:effectLst/>
              <a:latin typeface="+mn-lt"/>
              <a:ea typeface="+mn-ea"/>
              <a:cs typeface="+mn-cs"/>
            </a:rPr>
            <a:t>本社</a:t>
          </a:r>
          <a:r>
            <a:rPr kumimoji="1" lang="ja-JP" altLang="ja-JP" sz="1100">
              <a:solidFill>
                <a:schemeClr val="dk1"/>
              </a:solidFill>
              <a:effectLst/>
              <a:latin typeface="+mn-lt"/>
              <a:ea typeface="+mn-ea"/>
              <a:cs typeface="+mn-cs"/>
            </a:rPr>
            <a:t>承認者の名前を明記してください。</a:t>
          </a:r>
          <a:endParaRPr lang="ja-JP" altLang="ja-JP">
            <a:effectLst/>
          </a:endParaRPr>
        </a:p>
      </xdr:txBody>
    </xdr:sp>
    <xdr:clientData/>
  </xdr:twoCellAnchor>
  <xdr:twoCellAnchor>
    <xdr:from>
      <xdr:col>9</xdr:col>
      <xdr:colOff>142875</xdr:colOff>
      <xdr:row>9</xdr:row>
      <xdr:rowOff>133349</xdr:rowOff>
    </xdr:from>
    <xdr:to>
      <xdr:col>14</xdr:col>
      <xdr:colOff>66674</xdr:colOff>
      <xdr:row>11</xdr:row>
      <xdr:rowOff>104774</xdr:rowOff>
    </xdr:to>
    <xdr:sp macro="" textlink="">
      <xdr:nvSpPr>
        <xdr:cNvPr id="5" name="吹き出し: 線 4">
          <a:extLst>
            <a:ext uri="{FF2B5EF4-FFF2-40B4-BE49-F238E27FC236}">
              <a16:creationId xmlns:a16="http://schemas.microsoft.com/office/drawing/2014/main" id="{2C885078-F897-4DEA-8478-3ED86F5BD585}"/>
            </a:ext>
          </a:extLst>
        </xdr:cNvPr>
        <xdr:cNvSpPr/>
      </xdr:nvSpPr>
      <xdr:spPr>
        <a:xfrm>
          <a:off x="9210675" y="1743074"/>
          <a:ext cx="3352799" cy="523875"/>
        </a:xfrm>
        <a:prstGeom prst="borderCallout1">
          <a:avLst>
            <a:gd name="adj1" fmla="val 62000"/>
            <a:gd name="adj2" fmla="val -1385"/>
            <a:gd name="adj3" fmla="val -14607"/>
            <a:gd name="adj4" fmla="val -7120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ja-JP">
              <a:effectLst/>
            </a:rPr>
            <a:t>※</a:t>
          </a:r>
          <a:r>
            <a:rPr lang="ja-JP" altLang="en-US">
              <a:effectLst/>
            </a:rPr>
            <a:t>業務上必要であることが分かる内容を簡潔に記載してください。</a:t>
          </a:r>
          <a:endParaRPr lang="ja-JP" altLang="ja-JP">
            <a:effectLst/>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33</xdr:row>
          <xdr:rowOff>137160</xdr:rowOff>
        </xdr:from>
        <xdr:to>
          <xdr:col>4</xdr:col>
          <xdr:colOff>670560</xdr:colOff>
          <xdr:row>35</xdr:row>
          <xdr:rowOff>99060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ja-JP" altLang="en-US" sz="900" b="0" i="0" u="none" strike="noStrike" baseline="0">
                  <a:solidFill>
                    <a:srgbClr val="000000"/>
                  </a:solidFill>
                  <a:latin typeface="Meiryo UI"/>
                  <a:ea typeface="Meiryo UI"/>
                </a:rPr>
                <a:t> 上記内容を確認し、同意のうえ申請します。</a:t>
              </a:r>
            </a:p>
          </xdr:txBody>
        </xdr:sp>
        <xdr:clientData/>
      </xdr:twoCellAnchor>
    </mc:Choice>
    <mc:Fallback/>
  </mc:AlternateContent>
  <xdr:twoCellAnchor>
    <xdr:from>
      <xdr:col>0</xdr:col>
      <xdr:colOff>754811</xdr:colOff>
      <xdr:row>35</xdr:row>
      <xdr:rowOff>35944</xdr:rowOff>
    </xdr:from>
    <xdr:to>
      <xdr:col>2</xdr:col>
      <xdr:colOff>40598</xdr:colOff>
      <xdr:row>36</xdr:row>
      <xdr:rowOff>144251</xdr:rowOff>
    </xdr:to>
    <xdr:sp macro="" textlink="">
      <xdr:nvSpPr>
        <xdr:cNvPr id="4" name="吹き出し: 線 3">
          <a:extLst>
            <a:ext uri="{FF2B5EF4-FFF2-40B4-BE49-F238E27FC236}">
              <a16:creationId xmlns:a16="http://schemas.microsoft.com/office/drawing/2014/main" id="{B8522847-1F2A-4B9B-8400-2FBDEB935A0C}"/>
            </a:ext>
          </a:extLst>
        </xdr:cNvPr>
        <xdr:cNvSpPr/>
      </xdr:nvSpPr>
      <xdr:spPr>
        <a:xfrm>
          <a:off x="754811" y="9668774"/>
          <a:ext cx="1981542" cy="279038"/>
        </a:xfrm>
        <a:prstGeom prst="borderCallout1">
          <a:avLst>
            <a:gd name="adj1" fmla="val 52084"/>
            <a:gd name="adj2" fmla="val -1826"/>
            <a:gd name="adj3" fmla="val -30357"/>
            <a:gd name="adj4" fmla="val -305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必ずチェック入れてください！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7"/>
  <sheetViews>
    <sheetView tabSelected="1" zoomScale="115" zoomScaleNormal="115" workbookViewId="0">
      <selection activeCell="A2" sqref="A2:G5"/>
    </sheetView>
  </sheetViews>
  <sheetFormatPr defaultRowHeight="13.2"/>
  <cols>
    <col min="1" max="1" width="9" customWidth="1"/>
    <col min="2" max="2" width="7.33203125" customWidth="1"/>
    <col min="3" max="3" width="6" customWidth="1"/>
    <col min="4" max="4" width="5.6640625" customWidth="1"/>
    <col min="5" max="6" width="8.6640625" customWidth="1"/>
    <col min="7" max="7" width="26.21875" style="1" customWidth="1"/>
  </cols>
  <sheetData>
    <row r="1" spans="1:7" ht="16.2">
      <c r="A1" s="8"/>
      <c r="B1" s="10">
        <v>46082</v>
      </c>
      <c r="C1" s="8" t="s">
        <v>13</v>
      </c>
      <c r="D1" s="9">
        <f>B1</f>
        <v>46082</v>
      </c>
      <c r="E1" s="8" t="s">
        <v>18</v>
      </c>
      <c r="F1" s="8"/>
      <c r="G1" s="8"/>
    </row>
    <row r="2" spans="1:7" ht="55.5" customHeight="1">
      <c r="A2" s="25" t="s">
        <v>33</v>
      </c>
      <c r="B2" s="25"/>
      <c r="C2" s="25"/>
      <c r="D2" s="25"/>
      <c r="E2" s="25"/>
      <c r="F2" s="25"/>
      <c r="G2" s="25"/>
    </row>
    <row r="3" spans="1:7" ht="55.5" customHeight="1">
      <c r="A3" s="25"/>
      <c r="B3" s="25"/>
      <c r="C3" s="25"/>
      <c r="D3" s="25"/>
      <c r="E3" s="25"/>
      <c r="F3" s="25"/>
      <c r="G3" s="25"/>
    </row>
    <row r="4" spans="1:7" ht="55.5" customHeight="1">
      <c r="A4" s="25"/>
      <c r="B4" s="25"/>
      <c r="C4" s="25"/>
      <c r="D4" s="25"/>
      <c r="E4" s="25"/>
      <c r="F4" s="25"/>
      <c r="G4" s="25"/>
    </row>
    <row r="5" spans="1:7" ht="15.75" customHeight="1">
      <c r="A5" s="25"/>
      <c r="B5" s="25"/>
      <c r="C5" s="25"/>
      <c r="D5" s="25"/>
      <c r="E5" s="25"/>
      <c r="F5" s="25"/>
      <c r="G5" s="25"/>
    </row>
    <row r="6" spans="1:7" ht="22.5" customHeight="1">
      <c r="D6" s="19" t="s">
        <v>4</v>
      </c>
      <c r="E6" s="19"/>
      <c r="F6" s="19"/>
      <c r="G6" s="19"/>
    </row>
    <row r="7" spans="1:7" ht="27" customHeight="1">
      <c r="C7" s="12"/>
      <c r="D7" s="27" t="s">
        <v>17</v>
      </c>
      <c r="E7" s="27"/>
      <c r="F7" s="27"/>
      <c r="G7" s="27"/>
    </row>
    <row r="8" spans="1:7" ht="14.4">
      <c r="D8" s="4"/>
      <c r="E8" s="4"/>
      <c r="F8" s="4"/>
      <c r="G8" s="4"/>
    </row>
    <row r="9" spans="1:7" s="2" customFormat="1" ht="18" customHeight="1">
      <c r="A9" s="21" t="s">
        <v>7</v>
      </c>
      <c r="B9" s="21" t="s">
        <v>8</v>
      </c>
      <c r="C9" s="23" t="s">
        <v>9</v>
      </c>
      <c r="D9" s="23" t="s">
        <v>3</v>
      </c>
      <c r="E9" s="21" t="s">
        <v>1</v>
      </c>
      <c r="F9" s="21" t="s">
        <v>2</v>
      </c>
      <c r="G9" s="23" t="s">
        <v>12</v>
      </c>
    </row>
    <row r="10" spans="1:7" ht="31.5" customHeight="1">
      <c r="A10" s="22"/>
      <c r="B10" s="22"/>
      <c r="C10" s="22"/>
      <c r="D10" s="24"/>
      <c r="E10" s="22"/>
      <c r="F10" s="22"/>
      <c r="G10" s="22"/>
    </row>
    <row r="11" spans="1:7" ht="18.75" customHeight="1">
      <c r="A11" s="11">
        <v>46082</v>
      </c>
      <c r="B11" s="5">
        <f t="shared" ref="B11:B41" si="0">WEEKDAY(A11,1)</f>
        <v>1</v>
      </c>
      <c r="C11" s="6" t="str">
        <f>IF(OR(B11=7,B11=1),"休","普")</f>
        <v>休</v>
      </c>
      <c r="D11" s="3" t="s">
        <v>10</v>
      </c>
      <c r="E11" s="3" t="s">
        <v>30</v>
      </c>
      <c r="F11" s="3" t="s">
        <v>31</v>
      </c>
      <c r="G11" s="15" t="s">
        <v>32</v>
      </c>
    </row>
    <row r="12" spans="1:7" ht="21" customHeight="1">
      <c r="A12" s="7">
        <f>IF(A11 &gt;= EOMONTH($A$11, 0), "", A11+1)</f>
        <v>46083</v>
      </c>
      <c r="B12" s="5">
        <f t="shared" si="0"/>
        <v>2</v>
      </c>
      <c r="C12" s="6" t="str">
        <f t="shared" ref="C12:C30" si="1">IF(OR(B12=7,B12=1),"休","普")</f>
        <v>普</v>
      </c>
      <c r="D12" s="3" t="s">
        <v>14</v>
      </c>
      <c r="E12" s="3"/>
      <c r="F12" s="3"/>
      <c r="G12" s="3"/>
    </row>
    <row r="13" spans="1:7" ht="21" customHeight="1">
      <c r="A13" s="7">
        <f t="shared" ref="A13:A41" si="2">IF(A12 &gt;= EOMONTH($A$11, 0), "", A12+1)</f>
        <v>46084</v>
      </c>
      <c r="B13" s="5">
        <f t="shared" si="0"/>
        <v>3</v>
      </c>
      <c r="C13" s="6" t="str">
        <f t="shared" si="1"/>
        <v>普</v>
      </c>
      <c r="D13" s="3" t="s">
        <v>10</v>
      </c>
      <c r="E13" s="3"/>
      <c r="F13" s="3"/>
      <c r="G13" s="3"/>
    </row>
    <row r="14" spans="1:7" ht="21" customHeight="1">
      <c r="A14" s="7">
        <f t="shared" si="2"/>
        <v>46085</v>
      </c>
      <c r="B14" s="5">
        <f t="shared" si="0"/>
        <v>4</v>
      </c>
      <c r="C14" s="6" t="str">
        <f t="shared" si="1"/>
        <v>普</v>
      </c>
      <c r="D14" s="3"/>
      <c r="E14" s="3"/>
      <c r="F14" s="3"/>
      <c r="G14" s="3"/>
    </row>
    <row r="15" spans="1:7" ht="21" customHeight="1">
      <c r="A15" s="7">
        <f t="shared" si="2"/>
        <v>46086</v>
      </c>
      <c r="B15" s="5">
        <f t="shared" si="0"/>
        <v>5</v>
      </c>
      <c r="C15" s="6" t="str">
        <f t="shared" si="1"/>
        <v>普</v>
      </c>
      <c r="D15" s="3" t="s">
        <v>11</v>
      </c>
      <c r="E15" s="3"/>
      <c r="F15" s="3"/>
      <c r="G15" s="3"/>
    </row>
    <row r="16" spans="1:7" ht="21" customHeight="1">
      <c r="A16" s="7">
        <f t="shared" si="2"/>
        <v>46087</v>
      </c>
      <c r="B16" s="5">
        <f t="shared" si="0"/>
        <v>6</v>
      </c>
      <c r="C16" s="6" t="str">
        <f t="shared" si="1"/>
        <v>普</v>
      </c>
      <c r="D16" s="3"/>
      <c r="E16" s="3"/>
      <c r="F16" s="3"/>
      <c r="G16" s="3"/>
    </row>
    <row r="17" spans="1:14" ht="21" customHeight="1">
      <c r="A17" s="7">
        <f t="shared" si="2"/>
        <v>46088</v>
      </c>
      <c r="B17" s="5">
        <f t="shared" si="0"/>
        <v>7</v>
      </c>
      <c r="C17" s="6" t="str">
        <f t="shared" si="1"/>
        <v>休</v>
      </c>
      <c r="D17" s="3"/>
      <c r="E17" s="3"/>
      <c r="F17" s="3"/>
      <c r="G17" s="3"/>
    </row>
    <row r="18" spans="1:14" ht="21" customHeight="1">
      <c r="A18" s="7">
        <f t="shared" si="2"/>
        <v>46089</v>
      </c>
      <c r="B18" s="5">
        <f t="shared" si="0"/>
        <v>1</v>
      </c>
      <c r="C18" s="6" t="str">
        <f t="shared" si="1"/>
        <v>休</v>
      </c>
      <c r="D18" s="3"/>
      <c r="E18" s="3"/>
      <c r="F18" s="3"/>
      <c r="G18" s="3"/>
    </row>
    <row r="19" spans="1:14" ht="21" customHeight="1">
      <c r="A19" s="7">
        <f t="shared" si="2"/>
        <v>46090</v>
      </c>
      <c r="B19" s="5">
        <f t="shared" si="0"/>
        <v>2</v>
      </c>
      <c r="C19" s="6" t="str">
        <f t="shared" si="1"/>
        <v>普</v>
      </c>
      <c r="D19" s="3" t="s">
        <v>10</v>
      </c>
      <c r="E19" s="3"/>
      <c r="F19" s="3"/>
      <c r="G19" s="3"/>
    </row>
    <row r="20" spans="1:14" ht="21" customHeight="1">
      <c r="A20" s="7">
        <f t="shared" si="2"/>
        <v>46091</v>
      </c>
      <c r="B20" s="5">
        <f t="shared" si="0"/>
        <v>3</v>
      </c>
      <c r="C20" s="6" t="str">
        <f t="shared" si="1"/>
        <v>普</v>
      </c>
      <c r="D20" s="3" t="s">
        <v>11</v>
      </c>
      <c r="E20" s="3"/>
      <c r="F20" s="3"/>
      <c r="G20" s="3"/>
    </row>
    <row r="21" spans="1:14" ht="21" customHeight="1">
      <c r="A21" s="7">
        <f t="shared" si="2"/>
        <v>46092</v>
      </c>
      <c r="B21" s="5">
        <f t="shared" si="0"/>
        <v>4</v>
      </c>
      <c r="C21" s="6" t="str">
        <f t="shared" si="1"/>
        <v>普</v>
      </c>
      <c r="D21" s="3"/>
      <c r="E21" s="3"/>
      <c r="F21" s="3"/>
      <c r="G21" s="3"/>
      <c r="J21" s="20" t="s">
        <v>16</v>
      </c>
      <c r="K21" s="26"/>
      <c r="L21" s="26"/>
      <c r="M21" s="26"/>
      <c r="N21" s="26"/>
    </row>
    <row r="22" spans="1:14" ht="21" customHeight="1">
      <c r="A22" s="7">
        <f t="shared" si="2"/>
        <v>46093</v>
      </c>
      <c r="B22" s="5">
        <f t="shared" si="0"/>
        <v>5</v>
      </c>
      <c r="C22" s="6" t="str">
        <f t="shared" si="1"/>
        <v>普</v>
      </c>
      <c r="D22" s="3"/>
      <c r="E22" s="3"/>
      <c r="F22" s="3"/>
      <c r="G22" s="3"/>
      <c r="J22" s="26"/>
      <c r="K22" s="26"/>
      <c r="L22" s="26"/>
      <c r="M22" s="26"/>
      <c r="N22" s="26"/>
    </row>
    <row r="23" spans="1:14" ht="21" customHeight="1">
      <c r="A23" s="7">
        <f t="shared" si="2"/>
        <v>46094</v>
      </c>
      <c r="B23" s="5">
        <f t="shared" si="0"/>
        <v>6</v>
      </c>
      <c r="C23" s="6" t="str">
        <f t="shared" si="1"/>
        <v>普</v>
      </c>
      <c r="D23" s="3"/>
      <c r="E23" s="3"/>
      <c r="F23" s="3"/>
      <c r="G23" s="3"/>
      <c r="J23" s="26"/>
      <c r="K23" s="26"/>
      <c r="L23" s="26"/>
      <c r="M23" s="26"/>
      <c r="N23" s="26"/>
    </row>
    <row r="24" spans="1:14" ht="21" customHeight="1">
      <c r="A24" s="7">
        <f t="shared" si="2"/>
        <v>46095</v>
      </c>
      <c r="B24" s="5">
        <f t="shared" si="0"/>
        <v>7</v>
      </c>
      <c r="C24" s="6" t="str">
        <f t="shared" si="1"/>
        <v>休</v>
      </c>
      <c r="D24" s="3"/>
      <c r="E24" s="3"/>
      <c r="F24" s="3"/>
      <c r="G24" s="3"/>
      <c r="J24" s="26"/>
      <c r="K24" s="26"/>
      <c r="L24" s="26"/>
      <c r="M24" s="26"/>
      <c r="N24" s="26"/>
    </row>
    <row r="25" spans="1:14" ht="21" customHeight="1">
      <c r="A25" s="7">
        <f t="shared" si="2"/>
        <v>46096</v>
      </c>
      <c r="B25" s="5">
        <f>WEEKDAY(A25,1)</f>
        <v>1</v>
      </c>
      <c r="C25" s="6" t="s">
        <v>5</v>
      </c>
      <c r="D25" s="3"/>
      <c r="E25" s="3"/>
      <c r="F25" s="3"/>
      <c r="G25" s="3"/>
      <c r="J25" s="26"/>
      <c r="K25" s="26"/>
      <c r="L25" s="26"/>
      <c r="M25" s="26"/>
      <c r="N25" s="26"/>
    </row>
    <row r="26" spans="1:14" ht="18.600000000000001" customHeight="1">
      <c r="A26" s="7">
        <f t="shared" si="2"/>
        <v>46097</v>
      </c>
      <c r="B26" s="5">
        <f t="shared" si="0"/>
        <v>2</v>
      </c>
      <c r="C26" s="6" t="str">
        <f t="shared" si="1"/>
        <v>普</v>
      </c>
      <c r="D26" s="3"/>
      <c r="E26" s="3"/>
      <c r="F26" s="3"/>
      <c r="G26" s="3"/>
      <c r="J26" s="26"/>
      <c r="K26" s="26"/>
      <c r="L26" s="26"/>
      <c r="M26" s="26"/>
      <c r="N26" s="26"/>
    </row>
    <row r="27" spans="1:14" ht="21" customHeight="1">
      <c r="A27" s="7">
        <f t="shared" si="2"/>
        <v>46098</v>
      </c>
      <c r="B27" s="5">
        <f t="shared" si="0"/>
        <v>3</v>
      </c>
      <c r="C27" s="6" t="str">
        <f t="shared" si="1"/>
        <v>普</v>
      </c>
      <c r="D27" s="3"/>
      <c r="E27" s="3"/>
      <c r="F27" s="3"/>
      <c r="G27" s="3"/>
    </row>
    <row r="28" spans="1:14" ht="21" customHeight="1">
      <c r="A28" s="7">
        <f t="shared" si="2"/>
        <v>46099</v>
      </c>
      <c r="B28" s="5">
        <f t="shared" si="0"/>
        <v>4</v>
      </c>
      <c r="C28" s="6" t="str">
        <f t="shared" si="1"/>
        <v>普</v>
      </c>
      <c r="D28" s="3"/>
      <c r="E28" s="3"/>
      <c r="F28" s="3"/>
      <c r="G28" s="3"/>
    </row>
    <row r="29" spans="1:14" ht="21" customHeight="1">
      <c r="A29" s="7">
        <f t="shared" si="2"/>
        <v>46100</v>
      </c>
      <c r="B29" s="5">
        <f t="shared" si="0"/>
        <v>5</v>
      </c>
      <c r="C29" s="6" t="str">
        <f t="shared" si="1"/>
        <v>普</v>
      </c>
      <c r="D29" s="3"/>
      <c r="E29" s="3"/>
      <c r="F29" s="3"/>
      <c r="G29" s="3"/>
    </row>
    <row r="30" spans="1:14" ht="21" customHeight="1">
      <c r="A30" s="7">
        <f t="shared" si="2"/>
        <v>46101</v>
      </c>
      <c r="B30" s="5">
        <f t="shared" si="0"/>
        <v>6</v>
      </c>
      <c r="C30" s="6" t="str">
        <f t="shared" si="1"/>
        <v>普</v>
      </c>
      <c r="D30" s="3"/>
      <c r="E30" s="3"/>
      <c r="F30" s="3"/>
      <c r="G30" s="3"/>
    </row>
    <row r="31" spans="1:14" ht="21" customHeight="1">
      <c r="A31" s="7">
        <f t="shared" si="2"/>
        <v>46102</v>
      </c>
      <c r="B31" s="5">
        <f t="shared" si="0"/>
        <v>7</v>
      </c>
      <c r="C31" s="6" t="s">
        <v>6</v>
      </c>
      <c r="D31" s="3"/>
      <c r="E31" s="3"/>
      <c r="F31" s="3"/>
      <c r="G31" s="3"/>
    </row>
    <row r="32" spans="1:14" ht="18.600000000000001" customHeight="1">
      <c r="A32" s="7">
        <f t="shared" si="2"/>
        <v>46103</v>
      </c>
      <c r="B32" s="5">
        <f t="shared" si="0"/>
        <v>1</v>
      </c>
      <c r="C32" s="6" t="str">
        <f t="shared" ref="C32:C40" si="3">IF(OR(B32=7,B32=1),"休","普")</f>
        <v>休</v>
      </c>
      <c r="D32" s="3"/>
      <c r="E32" s="3"/>
      <c r="F32" s="3"/>
      <c r="G32" s="3"/>
    </row>
    <row r="33" spans="1:7" ht="21" customHeight="1">
      <c r="A33" s="7">
        <f t="shared" si="2"/>
        <v>46104</v>
      </c>
      <c r="B33" s="5">
        <f t="shared" si="0"/>
        <v>2</v>
      </c>
      <c r="C33" s="6" t="str">
        <f t="shared" si="3"/>
        <v>普</v>
      </c>
      <c r="D33" s="3"/>
      <c r="E33" s="3"/>
      <c r="F33" s="3"/>
      <c r="G33" s="3"/>
    </row>
    <row r="34" spans="1:7" ht="18.600000000000001" customHeight="1">
      <c r="A34" s="7">
        <f t="shared" si="2"/>
        <v>46105</v>
      </c>
      <c r="B34" s="5">
        <f t="shared" si="0"/>
        <v>3</v>
      </c>
      <c r="C34" s="6" t="str">
        <f t="shared" si="3"/>
        <v>普</v>
      </c>
      <c r="D34" s="3"/>
      <c r="E34" s="3"/>
      <c r="F34" s="3"/>
      <c r="G34" s="3"/>
    </row>
    <row r="35" spans="1:7" ht="21" customHeight="1">
      <c r="A35" s="7">
        <f t="shared" si="2"/>
        <v>46106</v>
      </c>
      <c r="B35" s="5">
        <f t="shared" si="0"/>
        <v>4</v>
      </c>
      <c r="C35" s="6" t="str">
        <f t="shared" si="3"/>
        <v>普</v>
      </c>
      <c r="D35" s="3"/>
      <c r="E35" s="3"/>
      <c r="F35" s="3"/>
      <c r="G35" s="3"/>
    </row>
    <row r="36" spans="1:7" ht="21" customHeight="1">
      <c r="A36" s="7">
        <f t="shared" si="2"/>
        <v>46107</v>
      </c>
      <c r="B36" s="5">
        <f t="shared" si="0"/>
        <v>5</v>
      </c>
      <c r="C36" s="6" t="str">
        <f t="shared" si="3"/>
        <v>普</v>
      </c>
      <c r="D36" s="3"/>
      <c r="E36" s="3"/>
      <c r="F36" s="3"/>
      <c r="G36" s="3"/>
    </row>
    <row r="37" spans="1:7" ht="21" customHeight="1">
      <c r="A37" s="7">
        <f t="shared" si="2"/>
        <v>46108</v>
      </c>
      <c r="B37" s="5">
        <f t="shared" si="0"/>
        <v>6</v>
      </c>
      <c r="C37" s="6" t="str">
        <f t="shared" si="3"/>
        <v>普</v>
      </c>
      <c r="D37" s="3"/>
      <c r="E37" s="3"/>
      <c r="F37" s="3"/>
      <c r="G37" s="3"/>
    </row>
    <row r="38" spans="1:7" ht="21" customHeight="1">
      <c r="A38" s="7">
        <f t="shared" si="2"/>
        <v>46109</v>
      </c>
      <c r="B38" s="5">
        <f t="shared" si="0"/>
        <v>7</v>
      </c>
      <c r="C38" s="6" t="str">
        <f t="shared" si="3"/>
        <v>休</v>
      </c>
      <c r="D38" s="3"/>
      <c r="E38" s="3"/>
      <c r="F38" s="3"/>
      <c r="G38" s="3"/>
    </row>
    <row r="39" spans="1:7" ht="21" customHeight="1">
      <c r="A39" s="7">
        <f t="shared" si="2"/>
        <v>46110</v>
      </c>
      <c r="B39" s="5">
        <f t="shared" si="0"/>
        <v>1</v>
      </c>
      <c r="C39" s="6" t="str">
        <f t="shared" si="3"/>
        <v>休</v>
      </c>
      <c r="D39" s="3"/>
      <c r="E39" s="3"/>
      <c r="F39" s="3"/>
      <c r="G39" s="3"/>
    </row>
    <row r="40" spans="1:7" ht="18.600000000000001" customHeight="1">
      <c r="A40" s="7">
        <f t="shared" si="2"/>
        <v>46111</v>
      </c>
      <c r="B40" s="5">
        <f t="shared" si="0"/>
        <v>2</v>
      </c>
      <c r="C40" s="6" t="str">
        <f t="shared" si="3"/>
        <v>普</v>
      </c>
      <c r="D40" s="3"/>
      <c r="E40" s="3"/>
      <c r="F40" s="3"/>
      <c r="G40" s="3"/>
    </row>
    <row r="41" spans="1:7" ht="17.399999999999999" customHeight="1">
      <c r="A41" s="7">
        <f t="shared" si="2"/>
        <v>46112</v>
      </c>
      <c r="B41" s="5">
        <f t="shared" si="0"/>
        <v>3</v>
      </c>
      <c r="C41" s="6" t="str">
        <f>IF(OR(B41=7,B41=1),"休","普")</f>
        <v>普</v>
      </c>
      <c r="D41" s="3"/>
      <c r="E41" s="3"/>
      <c r="F41" s="3"/>
      <c r="G41" s="3"/>
    </row>
    <row r="42" spans="1:7">
      <c r="D42" s="2" t="s">
        <v>0</v>
      </c>
      <c r="E42" s="2"/>
      <c r="F42" s="2"/>
      <c r="G42" s="1">
        <f>SUM(G10:G41)</f>
        <v>0</v>
      </c>
    </row>
    <row r="44" spans="1:7" ht="24.75" customHeight="1">
      <c r="A44" s="25" t="s">
        <v>15</v>
      </c>
      <c r="B44" s="25"/>
      <c r="C44" s="25"/>
      <c r="D44" s="25"/>
      <c r="E44" s="25"/>
      <c r="F44" s="25"/>
      <c r="G44" s="25"/>
    </row>
    <row r="45" spans="1:7" ht="24.75" customHeight="1">
      <c r="A45" s="25"/>
      <c r="B45" s="25"/>
      <c r="C45" s="25"/>
      <c r="D45" s="25"/>
      <c r="E45" s="25"/>
      <c r="F45" s="25"/>
      <c r="G45" s="25"/>
    </row>
    <row r="46" spans="1:7" ht="24.75" customHeight="1">
      <c r="A46" s="25"/>
      <c r="B46" s="25"/>
      <c r="C46" s="25"/>
      <c r="D46" s="25"/>
      <c r="E46" s="25"/>
      <c r="F46" s="25"/>
      <c r="G46" s="25"/>
    </row>
    <row r="47" spans="1:7">
      <c r="A47" s="16"/>
      <c r="B47" s="16"/>
      <c r="C47" s="16"/>
      <c r="D47" s="16"/>
      <c r="E47" s="16"/>
      <c r="F47" s="16"/>
      <c r="G47" s="16"/>
    </row>
  </sheetData>
  <mergeCells count="13">
    <mergeCell ref="A2:G5"/>
    <mergeCell ref="A44:G46"/>
    <mergeCell ref="A47:G47"/>
    <mergeCell ref="D6:G6"/>
    <mergeCell ref="J21:N26"/>
    <mergeCell ref="A9:A10"/>
    <mergeCell ref="B9:B10"/>
    <mergeCell ref="C9:C10"/>
    <mergeCell ref="D9:D10"/>
    <mergeCell ref="E9:E10"/>
    <mergeCell ref="F9:F10"/>
    <mergeCell ref="G9:G10"/>
    <mergeCell ref="D7:G7"/>
  </mergeCells>
  <phoneticPr fontId="1"/>
  <conditionalFormatting sqref="B11:B41">
    <cfRule type="cellIs" dxfId="5" priority="6" stopIfTrue="1" operator="equal">
      <formula>7</formula>
    </cfRule>
    <cfRule type="cellIs" dxfId="4" priority="7" stopIfTrue="1" operator="equal">
      <formula>1</formula>
    </cfRule>
  </conditionalFormatting>
  <conditionalFormatting sqref="E11:G15">
    <cfRule type="expression" dxfId="3" priority="10">
      <formula>$A2="在宅"</formula>
    </cfRule>
  </conditionalFormatting>
  <conditionalFormatting sqref="E11:G41">
    <cfRule type="expression" dxfId="2" priority="1">
      <formula>OR($D11="在宅", $D11="休み")</formula>
    </cfRule>
    <cfRule type="expression" dxfId="1" priority="4">
      <formula>$D11="在宅"</formula>
    </cfRule>
  </conditionalFormatting>
  <conditionalFormatting sqref="E16:G41">
    <cfRule type="expression" dxfId="0" priority="5">
      <formula>$A8="在宅"</formula>
    </cfRule>
  </conditionalFormatting>
  <dataValidations count="2">
    <dataValidation type="list" showInputMessage="1" showErrorMessage="1" sqref="D11:D41" xr:uid="{6E45A3F2-45BE-49CA-9486-3E268BD676CE}">
      <formula1>"在宅,出勤,休み"</formula1>
    </dataValidation>
    <dataValidation type="custom" showInputMessage="1" showErrorMessage="1" errorTitle="入力不可" error="「在宅」と「休み」の場合、入力できません" sqref="E11:G41" xr:uid="{D11FCA66-6CB0-4963-8825-5C7A76B1C79B}">
      <formula1>NOT(OR($D11="在宅", $D11="休み"))</formula1>
    </dataValidation>
  </dataValidations>
  <pageMargins left="0.75" right="0.75" top="1" bottom="1" header="0.51200000000000001" footer="0.51200000000000001"/>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8" r:id="rId4" name="Check Box 4">
              <controlPr defaultSize="0" autoFill="0" autoLine="0" autoPict="0">
                <anchor moveWithCells="1">
                  <from>
                    <xdr:col>0</xdr:col>
                    <xdr:colOff>22860</xdr:colOff>
                    <xdr:row>45</xdr:row>
                    <xdr:rowOff>312420</xdr:rowOff>
                  </from>
                  <to>
                    <xdr:col>5</xdr:col>
                    <xdr:colOff>563880</xdr:colOff>
                    <xdr:row>46</xdr:row>
                    <xdr:rowOff>160020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F843-1D19-4F5A-9EA1-4345B398FF60}">
  <dimension ref="A1:M35"/>
  <sheetViews>
    <sheetView topLeftCell="A66" zoomScale="130" zoomScaleNormal="130" workbookViewId="0">
      <selection activeCell="A2" sqref="A2"/>
    </sheetView>
  </sheetViews>
  <sheetFormatPr defaultRowHeight="13.2"/>
  <cols>
    <col min="1" max="1" width="16.88671875" customWidth="1"/>
    <col min="2" max="2" width="18.44140625" customWidth="1"/>
    <col min="3" max="3" width="10.33203125" customWidth="1"/>
    <col min="4" max="4" width="10.6640625" customWidth="1"/>
    <col min="5" max="5" width="17" customWidth="1"/>
    <col min="6" max="6" width="18.6640625" customWidth="1"/>
  </cols>
  <sheetData>
    <row r="1" spans="1:6" ht="16.2">
      <c r="A1" s="10">
        <v>46082</v>
      </c>
      <c r="B1" s="8" t="s">
        <v>13</v>
      </c>
      <c r="C1" s="9">
        <f>A1</f>
        <v>46082</v>
      </c>
      <c r="D1" s="8" t="s">
        <v>19</v>
      </c>
    </row>
    <row r="6" spans="1:6" ht="14.4">
      <c r="C6" s="14"/>
      <c r="D6" s="14"/>
      <c r="E6" s="14"/>
      <c r="F6" s="14"/>
    </row>
    <row r="7" spans="1:6" ht="14.4">
      <c r="C7" s="19" t="s">
        <v>4</v>
      </c>
      <c r="D7" s="19"/>
      <c r="E7" s="19"/>
      <c r="F7" s="19"/>
    </row>
    <row r="9" spans="1:6">
      <c r="A9" s="21" t="s">
        <v>20</v>
      </c>
      <c r="B9" s="21" t="s">
        <v>21</v>
      </c>
      <c r="C9" s="23" t="s">
        <v>26</v>
      </c>
      <c r="D9" s="23" t="s">
        <v>23</v>
      </c>
      <c r="E9" s="21" t="s">
        <v>22</v>
      </c>
      <c r="F9" s="21" t="s">
        <v>25</v>
      </c>
    </row>
    <row r="10" spans="1:6">
      <c r="A10" s="22"/>
      <c r="B10" s="22"/>
      <c r="C10" s="22"/>
      <c r="D10" s="24"/>
      <c r="E10" s="22"/>
      <c r="F10" s="22"/>
    </row>
    <row r="11" spans="1:6" ht="30" customHeight="1">
      <c r="A11" s="3"/>
      <c r="B11" s="13" t="s">
        <v>28</v>
      </c>
      <c r="C11" s="3"/>
      <c r="D11" s="3"/>
      <c r="E11" s="3" t="s">
        <v>29</v>
      </c>
      <c r="F11" s="3"/>
    </row>
    <row r="12" spans="1:6" ht="30" customHeight="1">
      <c r="A12" s="3"/>
      <c r="B12" s="3"/>
      <c r="C12" s="3"/>
      <c r="D12" s="3"/>
      <c r="E12" s="3"/>
      <c r="F12" s="3"/>
    </row>
    <row r="13" spans="1:6" ht="30" customHeight="1">
      <c r="A13" s="3"/>
      <c r="B13" s="3"/>
      <c r="C13" s="3"/>
      <c r="D13" s="3"/>
      <c r="E13" s="3"/>
      <c r="F13" s="3"/>
    </row>
    <row r="14" spans="1:6" ht="30" customHeight="1">
      <c r="A14" s="3"/>
      <c r="B14" s="3"/>
      <c r="C14" s="3"/>
      <c r="D14" s="3"/>
      <c r="E14" s="3"/>
      <c r="F14" s="3"/>
    </row>
    <row r="15" spans="1:6" ht="30" customHeight="1">
      <c r="A15" s="3"/>
      <c r="B15" s="3"/>
      <c r="C15" s="3"/>
      <c r="D15" s="3"/>
      <c r="E15" s="3"/>
      <c r="F15" s="3"/>
    </row>
    <row r="16" spans="1:6" ht="30" customHeight="1">
      <c r="A16" s="3"/>
      <c r="B16" s="3"/>
      <c r="C16" s="3"/>
      <c r="D16" s="3"/>
      <c r="E16" s="3"/>
      <c r="F16" s="3"/>
    </row>
    <row r="17" spans="1:13" ht="30" customHeight="1">
      <c r="A17" s="3"/>
      <c r="B17" s="3"/>
      <c r="C17" s="3"/>
      <c r="D17" s="3"/>
      <c r="E17" s="3"/>
      <c r="F17" s="3"/>
    </row>
    <row r="18" spans="1:13" ht="30" customHeight="1">
      <c r="A18" s="3"/>
      <c r="B18" s="3"/>
      <c r="C18" s="3"/>
      <c r="D18" s="3"/>
      <c r="E18" s="3"/>
      <c r="F18" s="3"/>
    </row>
    <row r="19" spans="1:13" ht="30" customHeight="1">
      <c r="A19" s="3"/>
      <c r="B19" s="3"/>
      <c r="C19" s="3"/>
      <c r="D19" s="3"/>
      <c r="E19" s="3"/>
      <c r="F19" s="3"/>
      <c r="H19" s="20" t="s">
        <v>24</v>
      </c>
      <c r="I19" s="20"/>
      <c r="J19" s="20"/>
      <c r="K19" s="20"/>
      <c r="L19" s="20"/>
      <c r="M19" s="20"/>
    </row>
    <row r="20" spans="1:13" ht="30" customHeight="1">
      <c r="A20" s="3"/>
      <c r="B20" s="3"/>
      <c r="C20" s="3"/>
      <c r="D20" s="3"/>
      <c r="E20" s="3"/>
      <c r="F20" s="3"/>
      <c r="H20" s="20"/>
      <c r="I20" s="20"/>
      <c r="J20" s="20"/>
      <c r="K20" s="20"/>
      <c r="L20" s="20"/>
      <c r="M20" s="20"/>
    </row>
    <row r="21" spans="1:13" ht="30" customHeight="1">
      <c r="A21" s="3"/>
      <c r="B21" s="3"/>
      <c r="C21" s="3"/>
      <c r="D21" s="3"/>
      <c r="E21" s="3"/>
      <c r="F21" s="3"/>
      <c r="H21" s="20"/>
      <c r="I21" s="20"/>
      <c r="J21" s="20"/>
      <c r="K21" s="20"/>
      <c r="L21" s="20"/>
      <c r="M21" s="20"/>
    </row>
    <row r="22" spans="1:13" ht="30" customHeight="1">
      <c r="A22" s="3"/>
      <c r="B22" s="3"/>
      <c r="C22" s="3"/>
      <c r="D22" s="3"/>
      <c r="E22" s="3"/>
      <c r="F22" s="3"/>
      <c r="H22" s="20"/>
      <c r="I22" s="20"/>
      <c r="J22" s="20"/>
      <c r="K22" s="20"/>
      <c r="L22" s="20"/>
      <c r="M22" s="20"/>
    </row>
    <row r="23" spans="1:13" ht="30" customHeight="1">
      <c r="A23" s="3"/>
      <c r="B23" s="3"/>
      <c r="C23" s="3"/>
      <c r="D23" s="3"/>
      <c r="E23" s="3"/>
      <c r="F23" s="3"/>
      <c r="H23" s="20"/>
      <c r="I23" s="20"/>
      <c r="J23" s="20"/>
      <c r="K23" s="20"/>
      <c r="L23" s="20"/>
      <c r="M23" s="20"/>
    </row>
    <row r="24" spans="1:13" ht="30" customHeight="1">
      <c r="A24" s="3"/>
      <c r="B24" s="3"/>
      <c r="C24" s="3"/>
      <c r="D24" s="3"/>
      <c r="E24" s="3"/>
      <c r="F24" s="3"/>
      <c r="H24" s="20"/>
      <c r="I24" s="20"/>
      <c r="J24" s="20"/>
      <c r="K24" s="20"/>
      <c r="L24" s="20"/>
      <c r="M24" s="20"/>
    </row>
    <row r="25" spans="1:13" ht="30" customHeight="1">
      <c r="A25" s="3"/>
      <c r="B25" s="3"/>
      <c r="C25" s="3"/>
      <c r="D25" s="3"/>
      <c r="E25" s="3"/>
      <c r="F25" s="3"/>
    </row>
    <row r="26" spans="1:13" ht="30" customHeight="1">
      <c r="A26" s="3"/>
      <c r="B26" s="3"/>
      <c r="C26" s="3"/>
      <c r="D26" s="3"/>
      <c r="E26" s="3"/>
      <c r="F26" s="3"/>
    </row>
    <row r="27" spans="1:13" ht="30" customHeight="1">
      <c r="A27" s="3"/>
      <c r="B27" s="3"/>
      <c r="C27" s="3"/>
      <c r="D27" s="3"/>
      <c r="E27" s="3"/>
      <c r="F27" s="3"/>
    </row>
    <row r="28" spans="1:13">
      <c r="B28" s="2" t="s">
        <v>0</v>
      </c>
      <c r="C28">
        <f>SUM(C9:C27)</f>
        <v>0</v>
      </c>
    </row>
    <row r="30" spans="1:13">
      <c r="A30" s="17" t="s">
        <v>27</v>
      </c>
      <c r="B30" s="18"/>
      <c r="C30" s="18"/>
      <c r="D30" s="18"/>
      <c r="E30" s="18"/>
      <c r="F30" s="18"/>
    </row>
    <row r="31" spans="1:13">
      <c r="A31" s="18"/>
      <c r="B31" s="18"/>
      <c r="C31" s="18"/>
      <c r="D31" s="18"/>
      <c r="E31" s="18"/>
      <c r="F31" s="18"/>
    </row>
    <row r="32" spans="1:13">
      <c r="A32" s="18"/>
      <c r="B32" s="18"/>
      <c r="C32" s="18"/>
      <c r="D32" s="18"/>
      <c r="E32" s="18"/>
      <c r="F32" s="18"/>
    </row>
    <row r="33" spans="1:6">
      <c r="A33" s="18"/>
      <c r="B33" s="18"/>
      <c r="C33" s="18"/>
      <c r="D33" s="18"/>
      <c r="E33" s="18"/>
      <c r="F33" s="18"/>
    </row>
    <row r="34" spans="1:6">
      <c r="A34" s="18"/>
      <c r="B34" s="18"/>
      <c r="C34" s="18"/>
      <c r="D34" s="18"/>
      <c r="E34" s="18"/>
      <c r="F34" s="18"/>
    </row>
    <row r="35" spans="1:6" ht="19.5" customHeight="1">
      <c r="A35" s="16"/>
      <c r="B35" s="16"/>
      <c r="C35" s="16"/>
      <c r="D35" s="16"/>
      <c r="E35" s="16"/>
      <c r="F35" s="16"/>
    </row>
  </sheetData>
  <mergeCells count="10">
    <mergeCell ref="A35:F35"/>
    <mergeCell ref="A30:F34"/>
    <mergeCell ref="C7:F7"/>
    <mergeCell ref="H19:M24"/>
    <mergeCell ref="A9:A10"/>
    <mergeCell ref="B9:B10"/>
    <mergeCell ref="C9:C10"/>
    <mergeCell ref="D9:D10"/>
    <mergeCell ref="E9:E10"/>
    <mergeCell ref="F9:F10"/>
  </mergeCells>
  <phoneticPr fontId="1"/>
  <dataValidations count="2">
    <dataValidation type="list" allowBlank="1" showInputMessage="1" showErrorMessage="1" sqref="B12:B27 B11" xr:uid="{3B7A3588-69BE-4ADD-8C81-FBE5DF68C367}">
      <formula1>"出張交通費（備考欄で交通手段明記）,宿泊代,結婚手当,出産手当,その他（備考欄で内容記載必須）"</formula1>
    </dataValidation>
    <dataValidation type="list" allowBlank="1" showInputMessage="1" showErrorMessage="1" sqref="E11" xr:uid="{98307F84-2D40-48F0-AB64-32C447A03654}">
      <formula1>"あり（写真添付）,あり（pdf添付）,無（申請拒否可能性あり）"</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Check Box 2">
              <controlPr defaultSize="0" autoFill="0" autoLine="0" autoPict="0">
                <anchor moveWithCells="1">
                  <from>
                    <xdr:col>0</xdr:col>
                    <xdr:colOff>0</xdr:colOff>
                    <xdr:row>33</xdr:row>
                    <xdr:rowOff>137160</xdr:rowOff>
                  </from>
                  <to>
                    <xdr:col>4</xdr:col>
                    <xdr:colOff>670560</xdr:colOff>
                    <xdr:row>35</xdr:row>
                    <xdr:rowOff>99060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交通費申請サンプル</vt:lpstr>
      <vt:lpstr>経費申請サンプル</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womuraito19</dc:creator>
  <cp:lastModifiedBy>鈴木</cp:lastModifiedBy>
  <dcterms:created xsi:type="dcterms:W3CDTF">2014-09-12T01:10:52Z</dcterms:created>
  <dcterms:modified xsi:type="dcterms:W3CDTF">2026-06-25T06:32:59Z</dcterms:modified>
</cp:coreProperties>
</file>